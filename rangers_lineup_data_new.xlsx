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colemandawkins/Desktop/"/>
    </mc:Choice>
  </mc:AlternateContent>
  <xr:revisionPtr revIDLastSave="0" documentId="13_ncr:1_{8CE58201-194D-6140-BC56-F1E8FB39B773}" xr6:coauthVersionLast="47" xr6:coauthVersionMax="47" xr10:uidLastSave="{00000000-0000-0000-0000-000000000000}"/>
  <bookViews>
    <workbookView xWindow="-140" yWindow="4420" windowWidth="33380" windowHeight="17760" xr2:uid="{00000000-000D-0000-FFFF-FFFF00000000}"/>
  </bookViews>
  <sheets>
    <sheet name="Rangers Sta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" i="1"/>
</calcChain>
</file>

<file path=xl/sharedStrings.xml><?xml version="1.0" encoding="utf-8"?>
<sst xmlns="http://schemas.openxmlformats.org/spreadsheetml/2006/main" count="374" uniqueCount="227">
  <si>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</si>
  <si>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</si>
  <si>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</si>
  <si>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</si>
  <si>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</si>
  <si>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</si>
  <si>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</si>
  <si>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</si>
  <si>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</si>
  <si>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</si>
  <si>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</si>
  <si>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</si>
  <si>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</si>
  <si>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</si>
  <si>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</si>
  <si>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</si>
  <si>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wOBA_vs_RHP</t>
  </si>
  <si>
    <t>wOBA_vs_LHP</t>
  </si>
  <si>
    <t>xwOBA</t>
  </si>
  <si>
    <t>wRC+</t>
  </si>
  <si>
    <t>BsR</t>
  </si>
  <si>
    <t>Off</t>
  </si>
  <si>
    <t>Def</t>
  </si>
  <si>
    <t>Def/162</t>
  </si>
  <si>
    <t>WAR</t>
  </si>
  <si>
    <t>Primary Pos</t>
  </si>
  <si>
    <t>Secondary Pos</t>
  </si>
  <si>
    <t>Bats</t>
  </si>
  <si>
    <t>Throws</t>
  </si>
  <si>
    <t>Corey Seager</t>
  </si>
  <si>
    <t>TEX</t>
  </si>
  <si>
    <t>10.6%</t>
  </si>
  <si>
    <t>17.9%</t>
  </si>
  <si>
    <t>.251</t>
  </si>
  <si>
    <t>.311</t>
  </si>
  <si>
    <t>.294</t>
  </si>
  <si>
    <t>.372</t>
  </si>
  <si>
    <t>.544</t>
  </si>
  <si>
    <t>.384</t>
  </si>
  <si>
    <t>.401</t>
  </si>
  <si>
    <t>SS</t>
  </si>
  <si>
    <t>1B</t>
  </si>
  <si>
    <t>L</t>
  </si>
  <si>
    <t>Marcus Semien</t>
  </si>
  <si>
    <t>9.3%</t>
  </si>
  <si>
    <t>15.4%</t>
  </si>
  <si>
    <t>.166</t>
  </si>
  <si>
    <t>.266</t>
  </si>
  <si>
    <t>.250</t>
  </si>
  <si>
    <t>.322</t>
  </si>
  <si>
    <t>.416</t>
  </si>
  <si>
    <t>.321</t>
  </si>
  <si>
    <t>.325</t>
  </si>
  <si>
    <t>2B</t>
  </si>
  <si>
    <t>Wyatt Langford</t>
  </si>
  <si>
    <t>11.1%</t>
  </si>
  <si>
    <t>23.5%</t>
  </si>
  <si>
    <t>.176</t>
  </si>
  <si>
    <t>.298</t>
  </si>
  <si>
    <t>.247</t>
  </si>
  <si>
    <t>.335</t>
  </si>
  <si>
    <t>.423</t>
  </si>
  <si>
    <t>.329</t>
  </si>
  <si>
    <t>.339</t>
  </si>
  <si>
    <t>LF</t>
  </si>
  <si>
    <t>CF</t>
  </si>
  <si>
    <t>Nathaniel Lowe</t>
  </si>
  <si>
    <t>12.7%</t>
  </si>
  <si>
    <t>22.5%</t>
  </si>
  <si>
    <t>.145</t>
  </si>
  <si>
    <t>.327</t>
  </si>
  <si>
    <t>.263</t>
  </si>
  <si>
    <t>.361</t>
  </si>
  <si>
    <t>.408</t>
  </si>
  <si>
    <t>.336</t>
  </si>
  <si>
    <t>DH</t>
  </si>
  <si>
    <t>Adolis García</t>
  </si>
  <si>
    <t>7.6%</t>
  </si>
  <si>
    <t>26.8%</t>
  </si>
  <si>
    <t>.203</t>
  </si>
  <si>
    <t>.273</t>
  </si>
  <si>
    <t>.232</t>
  </si>
  <si>
    <t>.295</t>
  </si>
  <si>
    <t>.435</t>
  </si>
  <si>
    <t>.313</t>
  </si>
  <si>
    <t>RF</t>
  </si>
  <si>
    <t>Josh Jung</t>
  </si>
  <si>
    <t>5.4%</t>
  </si>
  <si>
    <t>27.0%</t>
  </si>
  <si>
    <t>.168</t>
  </si>
  <si>
    <t>.326</t>
  </si>
  <si>
    <t>.259</t>
  </si>
  <si>
    <t>.303</t>
  </si>
  <si>
    <t>.427</t>
  </si>
  <si>
    <t>.315</t>
  </si>
  <si>
    <t>3B</t>
  </si>
  <si>
    <t>Josh Smith</t>
  </si>
  <si>
    <t>9.1%</t>
  </si>
  <si>
    <t>19.9%</t>
  </si>
  <si>
    <t>.129</t>
  </si>
  <si>
    <t>.291</t>
  </si>
  <si>
    <t>.243</t>
  </si>
  <si>
    <t>.331</t>
  </si>
  <si>
    <t>.312</t>
  </si>
  <si>
    <t>UTIL</t>
  </si>
  <si>
    <t>Leody Taveras</t>
  </si>
  <si>
    <t>6.8%</t>
  </si>
  <si>
    <t>21.6%</t>
  </si>
  <si>
    <t>.136</t>
  </si>
  <si>
    <t>.248</t>
  </si>
  <si>
    <t>.297</t>
  </si>
  <si>
    <t>S</t>
  </si>
  <si>
    <t>Jonah Heim</t>
  </si>
  <si>
    <t>6.9%</t>
  </si>
  <si>
    <t>19.2%</t>
  </si>
  <si>
    <t>.139</t>
  </si>
  <si>
    <t>.260</t>
  </si>
  <si>
    <t>.231</t>
  </si>
  <si>
    <t>.286</t>
  </si>
  <si>
    <t>.370</t>
  </si>
  <si>
    <t>C</t>
  </si>
  <si>
    <t>Evan Carter</t>
  </si>
  <si>
    <t>10.1%</t>
  </si>
  <si>
    <t>23.6%</t>
  </si>
  <si>
    <t>.185</t>
  </si>
  <si>
    <t>.283</t>
  </si>
  <si>
    <t>.235</t>
  </si>
  <si>
    <t>.420</t>
  </si>
  <si>
    <t>.324</t>
  </si>
  <si>
    <t>.306</t>
  </si>
  <si>
    <t>Mitch Garver</t>
  </si>
  <si>
    <t>12.8%</t>
  </si>
  <si>
    <t>23.8%</t>
  </si>
  <si>
    <t>.230</t>
  </si>
  <si>
    <t>.270</t>
  </si>
  <si>
    <t>.500</t>
  </si>
  <si>
    <t>.374</t>
  </si>
  <si>
    <t>.364</t>
  </si>
  <si>
    <t>Ezequiel Duran</t>
  </si>
  <si>
    <t>4.8%</t>
  </si>
  <si>
    <t>25.2%</t>
  </si>
  <si>
    <t>.116</t>
  </si>
  <si>
    <t>.330</t>
  </si>
  <si>
    <t>.255</t>
  </si>
  <si>
    <t>.300</t>
  </si>
  <si>
    <t>.371</t>
  </si>
  <si>
    <t>.293</t>
  </si>
  <si>
    <t>.284</t>
  </si>
  <si>
    <t>IF</t>
  </si>
  <si>
    <t>Kyle Higashioka</t>
  </si>
  <si>
    <t>6.1%</t>
  </si>
  <si>
    <t>22.0%</t>
  </si>
  <si>
    <t>.162</t>
  </si>
  <si>
    <t>.279</t>
  </si>
  <si>
    <t>.241</t>
  </si>
  <si>
    <t>.403</t>
  </si>
  <si>
    <t>.301</t>
  </si>
  <si>
    <t>Travis Jankowski</t>
  </si>
  <si>
    <t>9.5%</t>
  </si>
  <si>
    <t>17.4%</t>
  </si>
  <si>
    <t>.057</t>
  </si>
  <si>
    <t>.288</t>
  </si>
  <si>
    <t>.236</t>
  </si>
  <si>
    <t>.318</t>
  </si>
  <si>
    <t>Robbie Grossman</t>
  </si>
  <si>
    <t>13.5%</t>
  </si>
  <si>
    <t>22.7%</t>
  </si>
  <si>
    <t>.148</t>
  </si>
  <si>
    <t>.290</t>
  </si>
  <si>
    <t>.238</t>
  </si>
  <si>
    <t>.386</t>
  </si>
  <si>
    <t>.320</t>
  </si>
  <si>
    <t>.307</t>
  </si>
  <si>
    <t>Michael Helman</t>
  </si>
  <si>
    <t>6.4%</t>
  </si>
  <si>
    <t>19.1%</t>
  </si>
  <si>
    <t>.222</t>
  </si>
  <si>
    <t>.455</t>
  </si>
  <si>
    <t>.319</t>
  </si>
  <si>
    <t>Rowdy Tellez</t>
  </si>
  <si>
    <t>7.1%</t>
  </si>
  <si>
    <t>.198</t>
  </si>
  <si>
    <t>.457</t>
  </si>
  <si>
    <t>.332</t>
  </si>
  <si>
    <t>.316</t>
  </si>
  <si>
    <t>Sam Haggerty</t>
  </si>
  <si>
    <t>8.8%</t>
  </si>
  <si>
    <t>20.3%</t>
  </si>
  <si>
    <t>.117</t>
  </si>
  <si>
    <t>.317</t>
  </si>
  <si>
    <t>.253</t>
  </si>
  <si>
    <t>.328</t>
  </si>
  <si>
    <t>.304</t>
  </si>
  <si>
    <t>Carson Kelly</t>
  </si>
  <si>
    <t>7.3%</t>
  </si>
  <si>
    <t>13.6%</t>
  </si>
  <si>
    <t>.108</t>
  </si>
  <si>
    <t>.343</t>
  </si>
  <si>
    <t>.281</t>
  </si>
  <si>
    <t>Alejandro Osuna</t>
  </si>
  <si>
    <t>11.9%</t>
  </si>
  <si>
    <t>19.3%</t>
  </si>
  <si>
    <t>.066</t>
  </si>
  <si>
    <t>.256</t>
  </si>
  <si>
    <t>.212</t>
  </si>
  <si>
    <t>.278</t>
  </si>
  <si>
    <t>Jake Burger</t>
  </si>
  <si>
    <t>3.2%</t>
  </si>
  <si>
    <t>24.7%</t>
  </si>
  <si>
    <t>.183</t>
  </si>
  <si>
    <t>.272</t>
  </si>
  <si>
    <t>.269</t>
  </si>
  <si>
    <t>.419</t>
  </si>
  <si>
    <t>Cody Freeman</t>
  </si>
  <si>
    <t>4.1%</t>
  </si>
  <si>
    <t>15.7%</t>
  </si>
  <si>
    <t>.114</t>
  </si>
  <si>
    <t>.228</t>
  </si>
  <si>
    <t>.258</t>
  </si>
  <si>
    <t>.342</t>
  </si>
  <si>
    <t>.261</t>
  </si>
  <si>
    <t>Joc Pederson</t>
  </si>
  <si>
    <t>21.2%</t>
  </si>
  <si>
    <t>.147</t>
  </si>
  <si>
    <t>.181</t>
  </si>
  <si>
    <t>.285</t>
  </si>
  <si>
    <t>.276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</si>
</sst>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workbookViewId="0">
      <selection activeCell="R7" sqref="R7"/>
    </sheetView>
  </sheetViews>
  <sheetFormatPr defaultColWidth="8.85546875" defaultRowHeight="15"/>
  <cols>
    <col min="1" max="1" width="14.85546875" customWidth="1"/>
    <col min="13" max="13" width="14" customWidth="1"/>
    <col min="14" max="14" width="14.7109375" customWidth="1"/>
    <col min="15" max="15" width="19.42578125" customWidth="1"/>
    <col min="16" max="18" width="16.7109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>
        <v>344</v>
      </c>
      <c r="D2">
        <v>1514</v>
      </c>
      <c r="E2">
        <v>84</v>
      </c>
      <c r="F2">
        <v>217</v>
      </c>
      <c r="G2">
        <v>220</v>
      </c>
      <c r="H2">
        <v>6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0.40899999999999997</v>
      </c>
      <c r="R2">
        <v>0.32900000000000001</v>
      </c>
      <c r="S2" t="s">
        <v>39</v>
      </c>
      <c r="T2">
        <v>152</v>
      </c>
      <c r="U2">
        <v>-9.4</v>
      </c>
      <c r="V2">
        <v>82.5</v>
      </c>
      <c r="W2">
        <v>14.4</v>
      </c>
      <c r="X2">
        <f>(W2/C2)*162</f>
        <v>6.7813953488372096</v>
      </c>
      <c r="Y2">
        <v>15</v>
      </c>
      <c r="Z2" t="s">
        <v>40</v>
      </c>
      <c r="AA2" t="s">
        <v>41</v>
      </c>
      <c r="AB2" t="s">
        <v>42</v>
      </c>
      <c r="AC2" t="s">
        <v>5</v>
      </c>
    </row>
    <row r="3" spans="1:29">
      <c r="A3" t="s">
        <v>43</v>
      </c>
      <c r="B3" t="s">
        <v>30</v>
      </c>
      <c r="C3">
        <v>448</v>
      </c>
      <c r="D3">
        <v>2005</v>
      </c>
      <c r="E3">
        <v>67</v>
      </c>
      <c r="F3">
        <v>285</v>
      </c>
      <c r="G3">
        <v>236</v>
      </c>
      <c r="H3">
        <v>33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>
        <v>0.31900000000000001</v>
      </c>
      <c r="R3">
        <v>0.32800000000000001</v>
      </c>
      <c r="S3" t="s">
        <v>52</v>
      </c>
      <c r="T3">
        <v>108</v>
      </c>
      <c r="U3">
        <v>5.7</v>
      </c>
      <c r="V3">
        <v>24.5</v>
      </c>
      <c r="W3">
        <v>34.700000000000003</v>
      </c>
      <c r="X3">
        <f>(W3/C3)*162</f>
        <v>12.547767857142858</v>
      </c>
      <c r="Y3">
        <v>12.9</v>
      </c>
      <c r="Z3" t="s">
        <v>53</v>
      </c>
      <c r="AA3" t="s">
        <v>40</v>
      </c>
      <c r="AB3" t="s">
        <v>5</v>
      </c>
      <c r="AC3" t="s">
        <v>5</v>
      </c>
    </row>
    <row r="4" spans="1:29">
      <c r="A4" t="s">
        <v>54</v>
      </c>
      <c r="B4" t="s">
        <v>30</v>
      </c>
      <c r="C4">
        <v>268</v>
      </c>
      <c r="D4">
        <v>1130</v>
      </c>
      <c r="E4">
        <v>38</v>
      </c>
      <c r="F4">
        <v>147</v>
      </c>
      <c r="G4">
        <v>136</v>
      </c>
      <c r="H4">
        <v>41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>
        <v>0.316</v>
      </c>
      <c r="R4">
        <v>0.36899999999999999</v>
      </c>
      <c r="S4" t="s">
        <v>63</v>
      </c>
      <c r="T4">
        <v>115</v>
      </c>
      <c r="U4">
        <v>5.9</v>
      </c>
      <c r="V4">
        <v>25.4</v>
      </c>
      <c r="W4">
        <v>5.9</v>
      </c>
      <c r="X4">
        <f>(W4/C4)*162</f>
        <v>3.5664179104477616</v>
      </c>
      <c r="Y4">
        <v>7.1</v>
      </c>
      <c r="Z4" t="s">
        <v>64</v>
      </c>
      <c r="AA4" t="s">
        <v>65</v>
      </c>
      <c r="AB4" t="s">
        <v>5</v>
      </c>
      <c r="AC4" t="s">
        <v>5</v>
      </c>
    </row>
    <row r="5" spans="1:29">
      <c r="A5" t="s">
        <v>66</v>
      </c>
      <c r="B5" t="s">
        <v>30</v>
      </c>
      <c r="C5">
        <v>301</v>
      </c>
      <c r="D5">
        <v>1289</v>
      </c>
      <c r="E5">
        <v>33</v>
      </c>
      <c r="F5">
        <v>151</v>
      </c>
      <c r="G5">
        <v>151</v>
      </c>
      <c r="H5">
        <v>3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63</v>
      </c>
      <c r="Q5">
        <v>0.34899999999999998</v>
      </c>
      <c r="R5">
        <v>0.314</v>
      </c>
      <c r="S5" t="s">
        <v>74</v>
      </c>
      <c r="T5">
        <v>120</v>
      </c>
      <c r="U5">
        <v>-5.7</v>
      </c>
      <c r="V5">
        <v>24.8</v>
      </c>
      <c r="W5">
        <v>-12.4</v>
      </c>
      <c r="X5">
        <f>(W5/C5)*162</f>
        <v>-6.6737541528239213</v>
      </c>
      <c r="Y5">
        <v>5.7</v>
      </c>
      <c r="Z5" t="s">
        <v>41</v>
      </c>
      <c r="AA5" t="s">
        <v>75</v>
      </c>
      <c r="AB5" t="s">
        <v>42</v>
      </c>
      <c r="AC5" t="s">
        <v>5</v>
      </c>
    </row>
    <row r="6" spans="1:29">
      <c r="A6" t="s">
        <v>76</v>
      </c>
      <c r="B6" t="s">
        <v>30</v>
      </c>
      <c r="C6">
        <v>437</v>
      </c>
      <c r="D6">
        <v>1816</v>
      </c>
      <c r="E6">
        <v>83</v>
      </c>
      <c r="F6">
        <v>234</v>
      </c>
      <c r="G6">
        <v>267</v>
      </c>
      <c r="H6">
        <v>33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>
        <v>0.313</v>
      </c>
      <c r="R6">
        <v>0.314</v>
      </c>
      <c r="S6" t="s">
        <v>70</v>
      </c>
      <c r="T6">
        <v>102</v>
      </c>
      <c r="U6">
        <v>2.1</v>
      </c>
      <c r="V6">
        <v>7.4</v>
      </c>
      <c r="W6">
        <v>-16.3</v>
      </c>
      <c r="X6">
        <f>(W6/C6)*162</f>
        <v>-6.042562929061785</v>
      </c>
      <c r="Y6">
        <v>5.3</v>
      </c>
      <c r="Z6" t="s">
        <v>85</v>
      </c>
      <c r="AA6" t="s">
        <v>65</v>
      </c>
      <c r="AB6" t="s">
        <v>5</v>
      </c>
      <c r="AC6" t="s">
        <v>5</v>
      </c>
    </row>
    <row r="7" spans="1:29">
      <c r="A7" t="s">
        <v>86</v>
      </c>
      <c r="B7" t="s">
        <v>30</v>
      </c>
      <c r="C7">
        <v>299</v>
      </c>
      <c r="D7">
        <v>1214</v>
      </c>
      <c r="E7">
        <v>44</v>
      </c>
      <c r="F7">
        <v>147</v>
      </c>
      <c r="G7">
        <v>147</v>
      </c>
      <c r="H7">
        <v>9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94</v>
      </c>
      <c r="Q7">
        <v>0.30399999999999999</v>
      </c>
      <c r="R7">
        <v>0.34899999999999998</v>
      </c>
      <c r="S7" t="s">
        <v>94</v>
      </c>
      <c r="T7">
        <v>103</v>
      </c>
      <c r="U7">
        <v>-4.7</v>
      </c>
      <c r="V7">
        <v>-0.5</v>
      </c>
      <c r="W7">
        <v>7</v>
      </c>
      <c r="X7">
        <f>(W7/C7)*162</f>
        <v>3.7926421404682271</v>
      </c>
      <c r="Y7">
        <v>4.8</v>
      </c>
      <c r="Z7" t="s">
        <v>95</v>
      </c>
      <c r="AA7" t="s">
        <v>53</v>
      </c>
      <c r="AB7" t="s">
        <v>5</v>
      </c>
      <c r="AC7" t="s">
        <v>5</v>
      </c>
    </row>
    <row r="8" spans="1:29">
      <c r="A8" t="s">
        <v>96</v>
      </c>
      <c r="B8" t="s">
        <v>30</v>
      </c>
      <c r="C8">
        <v>383</v>
      </c>
      <c r="D8">
        <v>1387</v>
      </c>
      <c r="E8">
        <v>29</v>
      </c>
      <c r="F8">
        <v>166</v>
      </c>
      <c r="G8">
        <v>112</v>
      </c>
      <c r="H8">
        <v>24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  <c r="O8" t="s">
        <v>36</v>
      </c>
      <c r="P8" t="s">
        <v>103</v>
      </c>
      <c r="Q8">
        <v>0.317</v>
      </c>
      <c r="R8">
        <v>0.29399999999999998</v>
      </c>
      <c r="S8" t="s">
        <v>103</v>
      </c>
      <c r="T8">
        <v>102</v>
      </c>
      <c r="U8">
        <v>1.6</v>
      </c>
      <c r="V8">
        <v>5</v>
      </c>
      <c r="W8">
        <v>-5.7</v>
      </c>
      <c r="X8">
        <f>(W8/C8)*162</f>
        <v>-2.4109660574412533</v>
      </c>
      <c r="Y8">
        <v>4.8</v>
      </c>
      <c r="Z8" t="s">
        <v>104</v>
      </c>
      <c r="AA8" t="s">
        <v>40</v>
      </c>
      <c r="AB8" t="s">
        <v>42</v>
      </c>
      <c r="AC8" t="s">
        <v>5</v>
      </c>
    </row>
    <row r="9" spans="1:29">
      <c r="A9" t="s">
        <v>105</v>
      </c>
      <c r="B9" t="s">
        <v>30</v>
      </c>
      <c r="C9">
        <v>324</v>
      </c>
      <c r="D9">
        <v>1165</v>
      </c>
      <c r="E9">
        <v>27</v>
      </c>
      <c r="F9">
        <v>133</v>
      </c>
      <c r="G9">
        <v>119</v>
      </c>
      <c r="H9">
        <v>43</v>
      </c>
      <c r="I9" t="s">
        <v>106</v>
      </c>
      <c r="J9" t="s">
        <v>107</v>
      </c>
      <c r="K9" t="s">
        <v>108</v>
      </c>
      <c r="L9" t="s">
        <v>58</v>
      </c>
      <c r="M9" t="s">
        <v>109</v>
      </c>
      <c r="N9" t="s">
        <v>58</v>
      </c>
      <c r="O9" t="s">
        <v>38</v>
      </c>
      <c r="P9" t="s">
        <v>110</v>
      </c>
      <c r="Q9">
        <v>0.30599999999999999</v>
      </c>
      <c r="R9">
        <v>0.26400000000000001</v>
      </c>
      <c r="S9" t="s">
        <v>92</v>
      </c>
      <c r="T9">
        <v>91</v>
      </c>
      <c r="U9">
        <v>5.5</v>
      </c>
      <c r="V9">
        <v>-6.7</v>
      </c>
      <c r="W9">
        <v>6.5</v>
      </c>
      <c r="X9">
        <f>(W9/C9)*162</f>
        <v>3.25</v>
      </c>
      <c r="Y9">
        <v>3.9</v>
      </c>
      <c r="Z9" t="s">
        <v>65</v>
      </c>
      <c r="AA9" t="s">
        <v>85</v>
      </c>
      <c r="AB9" t="s">
        <v>111</v>
      </c>
      <c r="AC9" t="s">
        <v>42</v>
      </c>
    </row>
    <row r="10" spans="1:29">
      <c r="A10" t="s">
        <v>112</v>
      </c>
      <c r="B10" t="s">
        <v>30</v>
      </c>
      <c r="C10">
        <v>386</v>
      </c>
      <c r="D10">
        <v>1425</v>
      </c>
      <c r="E10">
        <v>42</v>
      </c>
      <c r="F10">
        <v>144</v>
      </c>
      <c r="G10">
        <v>197</v>
      </c>
      <c r="H10">
        <v>6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119</v>
      </c>
      <c r="P10" t="s">
        <v>118</v>
      </c>
      <c r="Q10">
        <v>0.28100000000000003</v>
      </c>
      <c r="R10">
        <v>0.30199999999999999</v>
      </c>
      <c r="S10" t="s">
        <v>82</v>
      </c>
      <c r="T10">
        <v>83</v>
      </c>
      <c r="U10">
        <v>-6.7</v>
      </c>
      <c r="V10">
        <v>-34.1</v>
      </c>
      <c r="W10">
        <v>21</v>
      </c>
      <c r="X10">
        <f>(W10/C10)*162</f>
        <v>8.8134715025906729</v>
      </c>
      <c r="Y10">
        <v>3.5</v>
      </c>
      <c r="Z10" t="s">
        <v>120</v>
      </c>
      <c r="AA10" t="s">
        <v>75</v>
      </c>
      <c r="AB10" t="s">
        <v>111</v>
      </c>
      <c r="AC10" t="s">
        <v>5</v>
      </c>
    </row>
    <row r="11" spans="1:29">
      <c r="A11" t="s">
        <v>121</v>
      </c>
      <c r="B11" t="s">
        <v>30</v>
      </c>
      <c r="C11">
        <v>131</v>
      </c>
      <c r="D11">
        <v>457</v>
      </c>
      <c r="E11">
        <v>15</v>
      </c>
      <c r="F11">
        <v>69</v>
      </c>
      <c r="G11">
        <v>52</v>
      </c>
      <c r="H11">
        <v>19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90</v>
      </c>
      <c r="O11" t="s">
        <v>127</v>
      </c>
      <c r="P11" t="s">
        <v>128</v>
      </c>
      <c r="Q11">
        <v>0.35599999999999998</v>
      </c>
      <c r="R11">
        <v>0.14699999999999999</v>
      </c>
      <c r="S11" t="s">
        <v>129</v>
      </c>
      <c r="T11">
        <v>111</v>
      </c>
      <c r="U11">
        <v>3.9</v>
      </c>
      <c r="V11">
        <v>9.8000000000000007</v>
      </c>
      <c r="W11">
        <v>2.2000000000000002</v>
      </c>
      <c r="X11">
        <f>(W11/C11)*162</f>
        <v>2.720610687022901</v>
      </c>
      <c r="Y11">
        <v>2.8</v>
      </c>
      <c r="Z11" t="s">
        <v>64</v>
      </c>
      <c r="AA11" t="s">
        <v>65</v>
      </c>
      <c r="AB11" t="s">
        <v>42</v>
      </c>
      <c r="AC11" t="s">
        <v>5</v>
      </c>
    </row>
    <row r="12" spans="1:29">
      <c r="A12" t="s">
        <v>130</v>
      </c>
      <c r="B12" t="s">
        <v>30</v>
      </c>
      <c r="C12">
        <v>87</v>
      </c>
      <c r="D12">
        <v>344</v>
      </c>
      <c r="E12">
        <v>19</v>
      </c>
      <c r="F12">
        <v>45</v>
      </c>
      <c r="G12">
        <v>50</v>
      </c>
      <c r="H12">
        <v>0</v>
      </c>
      <c r="I12" t="s">
        <v>131</v>
      </c>
      <c r="J12" t="s">
        <v>132</v>
      </c>
      <c r="K12" t="s">
        <v>133</v>
      </c>
      <c r="L12" t="s">
        <v>84</v>
      </c>
      <c r="M12" t="s">
        <v>134</v>
      </c>
      <c r="N12" t="s">
        <v>119</v>
      </c>
      <c r="O12" t="s">
        <v>135</v>
      </c>
      <c r="P12" t="s">
        <v>136</v>
      </c>
      <c r="Q12">
        <v>0.36</v>
      </c>
      <c r="R12">
        <v>0.42</v>
      </c>
      <c r="S12" t="s">
        <v>137</v>
      </c>
      <c r="T12">
        <v>142</v>
      </c>
      <c r="U12">
        <v>-1.9</v>
      </c>
      <c r="V12">
        <v>15.3</v>
      </c>
      <c r="W12">
        <v>-4.8</v>
      </c>
      <c r="X12">
        <f>(W12/C12)*162</f>
        <v>-8.9379310344827587</v>
      </c>
      <c r="Y12">
        <v>2.2000000000000002</v>
      </c>
      <c r="Z12" t="s">
        <v>120</v>
      </c>
      <c r="AA12" t="s">
        <v>75</v>
      </c>
      <c r="AB12" t="s">
        <v>5</v>
      </c>
      <c r="AC12" t="s">
        <v>5</v>
      </c>
    </row>
    <row r="13" spans="1:29">
      <c r="A13" t="s">
        <v>138</v>
      </c>
      <c r="B13" t="s">
        <v>30</v>
      </c>
      <c r="C13">
        <v>304</v>
      </c>
      <c r="D13">
        <v>943</v>
      </c>
      <c r="E13">
        <v>17</v>
      </c>
      <c r="F13">
        <v>97</v>
      </c>
      <c r="G13">
        <v>80</v>
      </c>
      <c r="H13">
        <v>20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  <c r="O13" t="s">
        <v>145</v>
      </c>
      <c r="P13" t="s">
        <v>146</v>
      </c>
      <c r="Q13">
        <v>0.29899999999999999</v>
      </c>
      <c r="R13">
        <v>0.28199999999999997</v>
      </c>
      <c r="S13" t="s">
        <v>147</v>
      </c>
      <c r="T13">
        <v>88</v>
      </c>
      <c r="U13">
        <v>-2</v>
      </c>
      <c r="V13">
        <v>-15.2</v>
      </c>
      <c r="W13">
        <v>-1.3</v>
      </c>
      <c r="X13">
        <f>(W13/C13)*162</f>
        <v>-0.69276315789473686</v>
      </c>
      <c r="Y13">
        <v>1.5</v>
      </c>
      <c r="Z13" t="s">
        <v>104</v>
      </c>
      <c r="AA13" t="s">
        <v>148</v>
      </c>
      <c r="AB13" t="s">
        <v>5</v>
      </c>
      <c r="AC13" t="s">
        <v>5</v>
      </c>
    </row>
    <row r="14" spans="1:29">
      <c r="A14" t="s">
        <v>149</v>
      </c>
      <c r="B14" t="s">
        <v>30</v>
      </c>
      <c r="C14">
        <v>94</v>
      </c>
      <c r="D14">
        <v>327</v>
      </c>
      <c r="E14">
        <v>11</v>
      </c>
      <c r="F14">
        <v>33</v>
      </c>
      <c r="G14">
        <v>47</v>
      </c>
      <c r="H14">
        <v>3</v>
      </c>
      <c r="I14" t="s">
        <v>150</v>
      </c>
      <c r="J14" t="s">
        <v>151</v>
      </c>
      <c r="K14" t="s">
        <v>152</v>
      </c>
      <c r="L14" t="s">
        <v>153</v>
      </c>
      <c r="M14" t="s">
        <v>154</v>
      </c>
      <c r="N14" t="s">
        <v>100</v>
      </c>
      <c r="O14" t="s">
        <v>155</v>
      </c>
      <c r="P14" t="s">
        <v>156</v>
      </c>
      <c r="Q14">
        <v>0.30299999999999999</v>
      </c>
      <c r="R14">
        <v>0.29499999999999998</v>
      </c>
      <c r="S14" t="s">
        <v>146</v>
      </c>
      <c r="T14">
        <v>93</v>
      </c>
      <c r="U14">
        <v>-1.3</v>
      </c>
      <c r="V14">
        <v>-4</v>
      </c>
      <c r="W14">
        <v>2.2999999999999998</v>
      </c>
      <c r="X14">
        <f>(W14/C14)*162</f>
        <v>3.963829787234042</v>
      </c>
      <c r="Y14">
        <v>1</v>
      </c>
      <c r="Z14" t="s">
        <v>120</v>
      </c>
      <c r="AA14" t="s">
        <v>75</v>
      </c>
      <c r="AB14" t="s">
        <v>5</v>
      </c>
      <c r="AC14" t="s">
        <v>5</v>
      </c>
    </row>
    <row r="15" spans="1:29">
      <c r="A15" t="s">
        <v>157</v>
      </c>
      <c r="B15" t="s">
        <v>30</v>
      </c>
      <c r="C15">
        <v>211</v>
      </c>
      <c r="D15">
        <v>494</v>
      </c>
      <c r="E15">
        <v>2</v>
      </c>
      <c r="F15">
        <v>53</v>
      </c>
      <c r="G15">
        <v>42</v>
      </c>
      <c r="H15">
        <v>30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">
        <v>163</v>
      </c>
      <c r="O15" t="s">
        <v>146</v>
      </c>
      <c r="P15" t="s">
        <v>153</v>
      </c>
      <c r="Q15">
        <v>0.28799999999999998</v>
      </c>
      <c r="R15">
        <v>0.192</v>
      </c>
      <c r="S15" t="s">
        <v>153</v>
      </c>
      <c r="T15">
        <v>78</v>
      </c>
      <c r="U15">
        <v>4.7</v>
      </c>
      <c r="V15">
        <v>-7.5</v>
      </c>
      <c r="W15">
        <v>-0.2</v>
      </c>
      <c r="X15">
        <f>(W15/C15)*162</f>
        <v>-0.15355450236966825</v>
      </c>
      <c r="Y15">
        <v>0.9</v>
      </c>
      <c r="Z15" t="s">
        <v>65</v>
      </c>
      <c r="AA15" t="s">
        <v>64</v>
      </c>
      <c r="AB15" t="s">
        <v>42</v>
      </c>
      <c r="AC15" t="s">
        <v>42</v>
      </c>
    </row>
    <row r="16" spans="1:29">
      <c r="A16" t="s">
        <v>164</v>
      </c>
      <c r="B16" t="s">
        <v>30</v>
      </c>
      <c r="C16">
        <v>161</v>
      </c>
      <c r="D16">
        <v>542</v>
      </c>
      <c r="E16">
        <v>13</v>
      </c>
      <c r="F16">
        <v>69</v>
      </c>
      <c r="G16">
        <v>59</v>
      </c>
      <c r="H16">
        <v>2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63</v>
      </c>
      <c r="O16" t="s">
        <v>170</v>
      </c>
      <c r="P16" t="s">
        <v>171</v>
      </c>
      <c r="Q16">
        <v>0.27700000000000002</v>
      </c>
      <c r="R16">
        <v>0.38200000000000001</v>
      </c>
      <c r="S16" t="s">
        <v>172</v>
      </c>
      <c r="T16">
        <v>106</v>
      </c>
      <c r="U16">
        <v>-1.3</v>
      </c>
      <c r="V16">
        <v>2.4</v>
      </c>
      <c r="W16">
        <v>-15.1</v>
      </c>
      <c r="X16">
        <f>(W16/C16)*162</f>
        <v>-15.193788819875776</v>
      </c>
      <c r="Y16">
        <v>0.6</v>
      </c>
      <c r="Z16" t="s">
        <v>64</v>
      </c>
      <c r="AA16" t="s">
        <v>75</v>
      </c>
      <c r="AB16" t="s">
        <v>111</v>
      </c>
      <c r="AC16" t="s">
        <v>5</v>
      </c>
    </row>
    <row r="17" spans="1:29">
      <c r="A17" t="s">
        <v>173</v>
      </c>
      <c r="B17" t="s">
        <v>30</v>
      </c>
      <c r="C17">
        <v>38</v>
      </c>
      <c r="D17">
        <v>110</v>
      </c>
      <c r="E17">
        <v>5</v>
      </c>
      <c r="F17">
        <v>18</v>
      </c>
      <c r="G17">
        <v>20</v>
      </c>
      <c r="H17">
        <v>4</v>
      </c>
      <c r="I17" t="s">
        <v>174</v>
      </c>
      <c r="J17" t="s">
        <v>175</v>
      </c>
      <c r="K17" t="s">
        <v>176</v>
      </c>
      <c r="L17" t="s">
        <v>59</v>
      </c>
      <c r="M17" t="s">
        <v>81</v>
      </c>
      <c r="N17" t="s">
        <v>168</v>
      </c>
      <c r="O17" t="s">
        <v>177</v>
      </c>
      <c r="P17" t="s">
        <v>178</v>
      </c>
      <c r="Q17">
        <v>0.35899999999999999</v>
      </c>
      <c r="R17">
        <v>0.27300000000000002</v>
      </c>
      <c r="S17" t="s">
        <v>48</v>
      </c>
      <c r="T17">
        <v>106</v>
      </c>
      <c r="U17">
        <v>0.8</v>
      </c>
      <c r="V17">
        <v>1.6</v>
      </c>
      <c r="W17">
        <v>0.2</v>
      </c>
      <c r="X17">
        <f>(W17/C17)*162</f>
        <v>0.85263157894736841</v>
      </c>
      <c r="Y17">
        <v>0.6</v>
      </c>
      <c r="Z17" t="s">
        <v>64</v>
      </c>
      <c r="AA17" t="s">
        <v>75</v>
      </c>
      <c r="AB17" t="s">
        <v>5</v>
      </c>
      <c r="AC17" t="s">
        <v>5</v>
      </c>
    </row>
    <row r="18" spans="1:29">
      <c r="A18" t="s">
        <v>179</v>
      </c>
      <c r="B18" t="s">
        <v>30</v>
      </c>
      <c r="C18">
        <v>50</v>
      </c>
      <c r="D18">
        <v>127</v>
      </c>
      <c r="E18">
        <v>6</v>
      </c>
      <c r="F18">
        <v>14</v>
      </c>
      <c r="G18">
        <v>22</v>
      </c>
      <c r="H18">
        <v>0</v>
      </c>
      <c r="I18" t="s">
        <v>180</v>
      </c>
      <c r="J18" t="s">
        <v>78</v>
      </c>
      <c r="K18" t="s">
        <v>181</v>
      </c>
      <c r="L18" t="s">
        <v>103</v>
      </c>
      <c r="M18" t="s">
        <v>91</v>
      </c>
      <c r="N18" t="s">
        <v>94</v>
      </c>
      <c r="O18" t="s">
        <v>182</v>
      </c>
      <c r="P18" t="s">
        <v>183</v>
      </c>
      <c r="Q18">
        <v>0.34300000000000003</v>
      </c>
      <c r="R18">
        <v>0.20699999999999999</v>
      </c>
      <c r="S18" t="s">
        <v>184</v>
      </c>
      <c r="T18">
        <v>115</v>
      </c>
      <c r="U18">
        <v>-0.8</v>
      </c>
      <c r="V18">
        <v>1.4</v>
      </c>
      <c r="W18">
        <v>-1.6</v>
      </c>
      <c r="X18">
        <f>(W18/C18)*162</f>
        <v>-5.1840000000000002</v>
      </c>
      <c r="Y18">
        <v>0.4</v>
      </c>
      <c r="Z18" t="s">
        <v>41</v>
      </c>
      <c r="AA18" t="s">
        <v>75</v>
      </c>
      <c r="AB18" t="s">
        <v>42</v>
      </c>
      <c r="AC18" t="s">
        <v>5</v>
      </c>
    </row>
    <row r="19" spans="1:29">
      <c r="A19" t="s">
        <v>185</v>
      </c>
      <c r="B19" t="s">
        <v>30</v>
      </c>
      <c r="C19">
        <v>64</v>
      </c>
      <c r="D19">
        <v>182</v>
      </c>
      <c r="E19">
        <v>2</v>
      </c>
      <c r="F19">
        <v>31</v>
      </c>
      <c r="G19">
        <v>13</v>
      </c>
      <c r="H19">
        <v>12</v>
      </c>
      <c r="I19" t="s">
        <v>186</v>
      </c>
      <c r="J19" t="s">
        <v>187</v>
      </c>
      <c r="K19" t="s">
        <v>188</v>
      </c>
      <c r="L19" t="s">
        <v>189</v>
      </c>
      <c r="M19" t="s">
        <v>190</v>
      </c>
      <c r="N19" t="s">
        <v>191</v>
      </c>
      <c r="O19" t="s">
        <v>119</v>
      </c>
      <c r="P19" t="s">
        <v>172</v>
      </c>
      <c r="Q19">
        <v>0.26100000000000001</v>
      </c>
      <c r="R19">
        <v>0.35099999999999998</v>
      </c>
      <c r="S19" t="s">
        <v>192</v>
      </c>
      <c r="T19">
        <v>98</v>
      </c>
      <c r="U19">
        <v>1.4</v>
      </c>
      <c r="V19">
        <v>0.9</v>
      </c>
      <c r="W19">
        <v>-5.2</v>
      </c>
      <c r="X19">
        <f>(W19/C19)*162</f>
        <v>-13.1625</v>
      </c>
      <c r="Y19">
        <v>0.2</v>
      </c>
      <c r="Z19" t="s">
        <v>53</v>
      </c>
      <c r="AA19" t="s">
        <v>64</v>
      </c>
      <c r="AB19" t="s">
        <v>111</v>
      </c>
      <c r="AC19" t="s">
        <v>5</v>
      </c>
    </row>
    <row r="20" spans="1:29">
      <c r="A20" t="s">
        <v>193</v>
      </c>
      <c r="B20" t="s">
        <v>30</v>
      </c>
      <c r="C20">
        <v>31</v>
      </c>
      <c r="D20">
        <v>110</v>
      </c>
      <c r="E20">
        <v>2</v>
      </c>
      <c r="F20">
        <v>11</v>
      </c>
      <c r="G20">
        <v>8</v>
      </c>
      <c r="H20">
        <v>0</v>
      </c>
      <c r="I20" t="s">
        <v>194</v>
      </c>
      <c r="J20" t="s">
        <v>195</v>
      </c>
      <c r="K20" t="s">
        <v>196</v>
      </c>
      <c r="L20" t="s">
        <v>91</v>
      </c>
      <c r="M20" t="s">
        <v>126</v>
      </c>
      <c r="N20" t="s">
        <v>100</v>
      </c>
      <c r="O20" t="s">
        <v>197</v>
      </c>
      <c r="P20" t="s">
        <v>198</v>
      </c>
      <c r="Q20">
        <v>0.24299999999999999</v>
      </c>
      <c r="R20">
        <v>0.56399999999999995</v>
      </c>
      <c r="S20" t="s">
        <v>161</v>
      </c>
      <c r="T20">
        <v>83</v>
      </c>
      <c r="U20">
        <v>-1</v>
      </c>
      <c r="V20">
        <v>-3.1</v>
      </c>
      <c r="W20">
        <v>1.3</v>
      </c>
      <c r="X20">
        <f>(W20/C20)*162</f>
        <v>6.7935483870967746</v>
      </c>
      <c r="Y20">
        <v>0.2</v>
      </c>
      <c r="Z20" t="s">
        <v>120</v>
      </c>
      <c r="AA20" t="s">
        <v>75</v>
      </c>
      <c r="AB20" t="s">
        <v>5</v>
      </c>
      <c r="AC20" t="s">
        <v>5</v>
      </c>
    </row>
    <row r="21" spans="1:29">
      <c r="A21" t="s">
        <v>199</v>
      </c>
      <c r="B21" t="s">
        <v>30</v>
      </c>
      <c r="C21">
        <v>63</v>
      </c>
      <c r="D21">
        <v>176</v>
      </c>
      <c r="E21">
        <v>2</v>
      </c>
      <c r="F21">
        <v>12</v>
      </c>
      <c r="G21">
        <v>15</v>
      </c>
      <c r="H21">
        <v>5</v>
      </c>
      <c r="I21" t="s">
        <v>200</v>
      </c>
      <c r="J21" t="s">
        <v>201</v>
      </c>
      <c r="K21" t="s">
        <v>202</v>
      </c>
      <c r="L21" t="s">
        <v>203</v>
      </c>
      <c r="M21" t="s">
        <v>204</v>
      </c>
      <c r="N21" t="s">
        <v>84</v>
      </c>
      <c r="O21" t="s">
        <v>205</v>
      </c>
      <c r="P21" t="s">
        <v>134</v>
      </c>
      <c r="Q21">
        <v>0.27600000000000002</v>
      </c>
      <c r="R21">
        <v>0.20499999999999999</v>
      </c>
      <c r="S21" t="s">
        <v>74</v>
      </c>
      <c r="T21">
        <v>72</v>
      </c>
      <c r="U21">
        <v>-0.1</v>
      </c>
      <c r="V21">
        <v>-5.9</v>
      </c>
      <c r="W21">
        <v>-0.5</v>
      </c>
      <c r="X21">
        <f>(W21/C21)*162</f>
        <v>-1.2857142857142856</v>
      </c>
      <c r="Y21">
        <v>0</v>
      </c>
      <c r="Z21" t="s">
        <v>64</v>
      </c>
      <c r="AA21" t="s">
        <v>85</v>
      </c>
      <c r="AB21" t="s">
        <v>5</v>
      </c>
      <c r="AC21" t="s">
        <v>5</v>
      </c>
    </row>
    <row r="22" spans="1:29">
      <c r="A22" t="s">
        <v>206</v>
      </c>
      <c r="B22" t="s">
        <v>30</v>
      </c>
      <c r="C22">
        <v>103</v>
      </c>
      <c r="D22">
        <v>376</v>
      </c>
      <c r="E22">
        <v>16</v>
      </c>
      <c r="F22">
        <v>43</v>
      </c>
      <c r="G22">
        <v>53</v>
      </c>
      <c r="H22">
        <v>1</v>
      </c>
      <c r="I22" t="s">
        <v>207</v>
      </c>
      <c r="J22" t="s">
        <v>208</v>
      </c>
      <c r="K22" t="s">
        <v>209</v>
      </c>
      <c r="L22" t="s">
        <v>210</v>
      </c>
      <c r="M22" t="s">
        <v>162</v>
      </c>
      <c r="N22" t="s">
        <v>211</v>
      </c>
      <c r="O22" t="s">
        <v>212</v>
      </c>
      <c r="P22" t="s">
        <v>82</v>
      </c>
      <c r="Q22">
        <v>0.27700000000000002</v>
      </c>
      <c r="R22">
        <v>0.34399999999999997</v>
      </c>
      <c r="S22" t="s">
        <v>128</v>
      </c>
      <c r="T22">
        <v>89</v>
      </c>
      <c r="U22">
        <v>-0.7</v>
      </c>
      <c r="V22">
        <v>-5.6</v>
      </c>
      <c r="W22">
        <v>-7.9</v>
      </c>
      <c r="X22">
        <f>(W22/C22)*162</f>
        <v>-12.425242718446603</v>
      </c>
      <c r="Y22">
        <v>-0.1</v>
      </c>
      <c r="Z22" t="s">
        <v>95</v>
      </c>
      <c r="AA22" t="s">
        <v>41</v>
      </c>
      <c r="AB22" t="s">
        <v>5</v>
      </c>
      <c r="AC22" t="s">
        <v>5</v>
      </c>
    </row>
    <row r="23" spans="1:29">
      <c r="A23" t="s">
        <v>213</v>
      </c>
      <c r="B23" t="s">
        <v>30</v>
      </c>
      <c r="C23">
        <v>36</v>
      </c>
      <c r="D23">
        <v>121</v>
      </c>
      <c r="E23">
        <v>3</v>
      </c>
      <c r="F23">
        <v>13</v>
      </c>
      <c r="G23">
        <v>15</v>
      </c>
      <c r="H23">
        <v>1</v>
      </c>
      <c r="I23" t="s">
        <v>214</v>
      </c>
      <c r="J23" t="s">
        <v>215</v>
      </c>
      <c r="K23" t="s">
        <v>216</v>
      </c>
      <c r="L23" t="s">
        <v>59</v>
      </c>
      <c r="M23" t="s">
        <v>217</v>
      </c>
      <c r="N23" t="s">
        <v>218</v>
      </c>
      <c r="O23" t="s">
        <v>219</v>
      </c>
      <c r="P23" t="s">
        <v>220</v>
      </c>
      <c r="Q23">
        <v>0.27300000000000002</v>
      </c>
      <c r="R23">
        <v>0.24299999999999999</v>
      </c>
      <c r="S23" t="s">
        <v>211</v>
      </c>
      <c r="T23">
        <v>66</v>
      </c>
      <c r="U23">
        <v>-0.4</v>
      </c>
      <c r="V23">
        <v>-5.3</v>
      </c>
      <c r="W23">
        <v>-1.6</v>
      </c>
      <c r="X23">
        <f>(W23/C23)*162</f>
        <v>-7.2</v>
      </c>
      <c r="Y23">
        <v>-0.3</v>
      </c>
      <c r="Z23" t="s">
        <v>41</v>
      </c>
      <c r="AA23" t="s">
        <v>75</v>
      </c>
      <c r="AB23" t="s">
        <v>5</v>
      </c>
      <c r="AC23" t="s">
        <v>5</v>
      </c>
    </row>
    <row r="24" spans="1:29">
      <c r="A24" t="s">
        <v>221</v>
      </c>
      <c r="B24" t="s">
        <v>30</v>
      </c>
      <c r="C24">
        <v>96</v>
      </c>
      <c r="D24">
        <v>306</v>
      </c>
      <c r="E24">
        <v>9</v>
      </c>
      <c r="F24">
        <v>28</v>
      </c>
      <c r="G24">
        <v>26</v>
      </c>
      <c r="H24">
        <v>2</v>
      </c>
      <c r="I24" t="s">
        <v>55</v>
      </c>
      <c r="J24" t="s">
        <v>222</v>
      </c>
      <c r="K24" t="s">
        <v>223</v>
      </c>
      <c r="L24" t="s">
        <v>79</v>
      </c>
      <c r="M24" t="s">
        <v>224</v>
      </c>
      <c r="N24" t="s">
        <v>225</v>
      </c>
      <c r="O24" t="s">
        <v>191</v>
      </c>
      <c r="P24" t="s">
        <v>226</v>
      </c>
      <c r="Q24">
        <v>0.26600000000000001</v>
      </c>
      <c r="R24">
        <v>0.438</v>
      </c>
      <c r="S24" t="s">
        <v>94</v>
      </c>
      <c r="T24">
        <v>76</v>
      </c>
      <c r="U24">
        <v>-0.8</v>
      </c>
      <c r="V24">
        <v>-9.4</v>
      </c>
      <c r="W24">
        <v>-8.8000000000000007</v>
      </c>
      <c r="X24">
        <f>(W24/C24)*162</f>
        <v>-14.850000000000001</v>
      </c>
      <c r="Y24">
        <v>-0.8</v>
      </c>
      <c r="Z24" t="s">
        <v>75</v>
      </c>
      <c r="AA24" t="s">
        <v>64</v>
      </c>
      <c r="AB24" t="s">
        <v>42</v>
      </c>
      <c r="AC2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Coleman Dawkins</cp:lastModifiedBy>
  <cp:revision/>
  <dcterms:created xsi:type="dcterms:W3CDTF">2026-04-08T15:53:38Z</dcterms:created>
  <dcterms:modified xsi:type="dcterms:W3CDTF">2026-04-19T21:40:41Z</dcterms:modified>
  <cp:category/>
  <cp:contentStatus/>
</cp:coreProperties>
</file>